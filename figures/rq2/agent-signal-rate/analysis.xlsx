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ode\STG\what-are-they-doing\figures\rq2\agent-signal-rate\"/>
    </mc:Choice>
  </mc:AlternateContent>
  <xr:revisionPtr revIDLastSave="0" documentId="13_ncr:1_{FD2E7CB4-6E3C-458D-A89F-055494E18E80}" xr6:coauthVersionLast="47" xr6:coauthVersionMax="47" xr10:uidLastSave="{00000000-0000-0000-0000-000000000000}"/>
  <bookViews>
    <workbookView xWindow="-24789" yWindow="5743" windowWidth="24892" windowHeight="15634" xr2:uid="{5FFB3E3E-1124-4078-A71D-E40140A4DD77}"/>
  </bookViews>
  <sheets>
    <sheet name="analysis" sheetId="1" r:id="rId1"/>
  </sheets>
  <definedNames>
    <definedName name="ExternalData_2" localSheetId="0" hidden="1">analysis!$A$1:$D$40</definedName>
    <definedName name="FilePath">analysis!$F$2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csv source_a4fac5aa-7d80-4f51-b8b1-e1cce733b9c1" name="csv source" connection="Query - csv sourc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  <c r="D58" i="1"/>
  <c r="D56" i="1"/>
  <c r="C58" i="1"/>
  <c r="C56" i="1"/>
  <c r="B58" i="1"/>
  <c r="B57" i="1"/>
  <c r="B56" i="1"/>
  <c r="D55" i="1"/>
  <c r="D54" i="1"/>
  <c r="C57" i="1"/>
  <c r="C55" i="1"/>
  <c r="C54" i="1"/>
  <c r="B55" i="1"/>
  <c r="B5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C83E9D-A8B0-4D05-8B59-C86D828CB8CA}" keepAlive="1" name="ModelConnection_ExternalData_2" description="Data Model" type="5" refreshedVersion="8" minRefreshableVersion="5" saveData="1">
    <dbPr connection="Data Model Connection" command="csv sourc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A576B1E-C309-4452-83C2-B4FF8F0B0CE4}" name="Query - csv source" description="Connection to the 'csv source' query in the workbook." type="100" refreshedVersion="8" minRefreshableVersion="5">
    <extLst>
      <ext xmlns:x15="http://schemas.microsoft.com/office/spreadsheetml/2010/11/main" uri="{DE250136-89BD-433C-8126-D09CA5730AF9}">
        <x15:connection id="5cfa9a31-afec-4b66-ba1a-067d83d5d2f8"/>
      </ext>
    </extLst>
  </connection>
  <connection id="3" xr16:uid="{E073FA58-65A0-4E64-B7FD-49D997300AF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<sst xmlns="http://schemas.openxmlformats.org/spreadsheetml/2006/main" count="50" uniqueCount="45">
  <si>
    <t>week</t>
  </si>
  <si>
    <t>commits_total</t>
  </si>
  <si>
    <t>commits_with_agent_signal</t>
  </si>
  <si>
    <t>agent_rate</t>
  </si>
  <si>
    <t>min</t>
  </si>
  <si>
    <t>max</t>
  </si>
  <si>
    <t>mean</t>
  </si>
  <si>
    <t>median</t>
  </si>
  <si>
    <t>stddev</t>
  </si>
  <si>
    <t>2025-09-15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</si>
  <si>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</si>
  <si>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</si>
  <si>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</si>
  <si>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</si>
  <si>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</si>
  <si>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</si>
  <si>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</si>
  <si>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</si>
  <si>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</si>
  <si>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</si>
  <si>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</si>
  <si>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</si>
  <si>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</si>
  <si>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</si>
  <si>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</si>
  <si>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</si>
  <si>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</si>
  <si>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</si>
  <si>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</si>
  <si>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</si>
  <si>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</si>
  <si>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</si>
  <si>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</si>
  <si>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</si>
  <si>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</si>
  <si>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</si>
  <si>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</si>
  <si>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2025-09-22</t>
  </si>
  <si>
    <t>2025-09-29</t>
  </si>
  <si>
    <t>2025-10-06</t>
  </si>
  <si>
    <t>2025-10-13</t>
  </si>
  <si>
    <t>Data Source:</t>
  </si>
  <si>
    <t>2025-09-08</t>
  </si>
  <si>
    <t>D:\Code\STG\what-are-they-doing\figures\rq2\agent-signal-rate\obra.csv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</si>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</sst>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16" fillId="0" borderId="10" xfId="0" applyFont="1" applyBorder="1"/>
    <xf numFmtId="0" fontId="0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'commits_total', 'commits_with_agent_signal' by 'week'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commits_total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analysis!$A$2:$A$40</c:f>
              <c:strCache>
                <c:ptCount val="39"/>
                <c:pt idx="0">
                  <c:v>2025-09-08</c:v>
                </c:pt>
                <c:pt idx="1">
                  <c:v>2025-09-15</c:v>
                </c:pt>
                <c:pt idx="2">
                  <c:v>2025-09-22</c:v>
                </c:pt>
                <c:pt idx="3">
                  <c:v>2025-09-29</c:v>
                </c:pt>
                <c:pt idx="4">
                  <c:v>2025-10-06</c:v>
                </c:pt>
                <c:pt idx="5">
                  <c:v>2025-10-13</c:v>
                </c:pt>
                <c:pt idx="6">
                  <c:v>2025-10-20</c:v>
                </c:pt>
                <c:pt idx="7">
                  <c:v>2025-10-27</c:v>
                </c:pt>
                <c:pt idx="8">
                  <c:v>2025-11-03</c:v>
                </c:pt>
                <c:pt idx="9">
                  <c:v>2025-11-10</c:v>
                </c:pt>
                <c:pt idx="10">
                  <c:v>2025-11-17</c:v>
                </c:pt>
                <c:pt idx="11">
                  <c:v>2025-11-24</c:v>
                </c:pt>
                <c:pt idx="12">
                  <c:v>2025-12-01</c:v>
                </c:pt>
                <c:pt idx="13">
                  <c:v>2025-12-08</c:v>
                </c:pt>
                <c:pt idx="14">
                  <c:v>2025-12-15</c:v>
                </c:pt>
                <c:pt idx="15">
                  <c:v>2025-12-22</c:v>
                </c:pt>
                <c:pt idx="16">
                  <c:v>2025-12-29</c:v>
                </c:pt>
                <c:pt idx="17">
                  <c:v>2026-01-12</c:v>
                </c:pt>
                <c:pt idx="18">
                  <c:v>2026-01-19</c:v>
                </c:pt>
                <c:pt idx="19">
                  <c:v>2026-01-26</c:v>
                </c:pt>
                <c:pt idx="20">
                  <c:v>2026-02-02</c:v>
                </c:pt>
                <c:pt idx="21">
                  <c:v>2026-02-09</c:v>
                </c:pt>
                <c:pt idx="22">
                  <c:v>2026-02-16</c:v>
                </c:pt>
                <c:pt idx="23">
                  <c:v>2026-02-23</c:v>
                </c:pt>
                <c:pt idx="24">
                  <c:v>2026-03-02</c:v>
                </c:pt>
                <c:pt idx="25">
                  <c:v>2026-03-09</c:v>
                </c:pt>
                <c:pt idx="26">
                  <c:v>2026-03-16</c:v>
                </c:pt>
                <c:pt idx="27">
                  <c:v>2026-03-23</c:v>
                </c:pt>
                <c:pt idx="28">
                  <c:v>2026-03-30</c:v>
                </c:pt>
                <c:pt idx="29">
                  <c:v>2026-04-06</c:v>
                </c:pt>
                <c:pt idx="30">
                  <c:v>2026-04-13</c:v>
                </c:pt>
                <c:pt idx="31">
                  <c:v>2026-04-20</c:v>
                </c:pt>
                <c:pt idx="32">
                  <c:v>2026-04-27</c:v>
                </c:pt>
                <c:pt idx="34">
                  <c:v>min</c:v>
                </c:pt>
                <c:pt idx="35">
                  <c:v>max</c:v>
                </c:pt>
                <c:pt idx="36">
                  <c:v>mean</c:v>
                </c:pt>
                <c:pt idx="37">
                  <c:v>median</c:v>
                </c:pt>
                <c:pt idx="38">
                  <c:v>stddev</c:v>
                </c:pt>
              </c:strCache>
            </c:strRef>
          </c:cat>
          <c:val>
            <c:numRef>
              <c:f>analysis!$B$2:$B$40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14</c:v>
                </c:pt>
                <c:pt idx="4">
                  <c:v>66</c:v>
                </c:pt>
                <c:pt idx="5">
                  <c:v>103</c:v>
                </c:pt>
                <c:pt idx="6">
                  <c:v>131</c:v>
                </c:pt>
                <c:pt idx="7">
                  <c:v>96</c:v>
                </c:pt>
                <c:pt idx="8">
                  <c:v>9</c:v>
                </c:pt>
                <c:pt idx="9">
                  <c:v>57</c:v>
                </c:pt>
                <c:pt idx="10">
                  <c:v>93</c:v>
                </c:pt>
                <c:pt idx="11">
                  <c:v>108</c:v>
                </c:pt>
                <c:pt idx="12">
                  <c:v>49</c:v>
                </c:pt>
                <c:pt idx="13">
                  <c:v>84</c:v>
                </c:pt>
                <c:pt idx="14">
                  <c:v>123</c:v>
                </c:pt>
                <c:pt idx="15">
                  <c:v>34</c:v>
                </c:pt>
                <c:pt idx="16">
                  <c:v>82</c:v>
                </c:pt>
                <c:pt idx="17">
                  <c:v>411</c:v>
                </c:pt>
                <c:pt idx="18">
                  <c:v>28</c:v>
                </c:pt>
                <c:pt idx="19">
                  <c:v>63</c:v>
                </c:pt>
                <c:pt idx="20">
                  <c:v>84</c:v>
                </c:pt>
                <c:pt idx="21">
                  <c:v>416</c:v>
                </c:pt>
                <c:pt idx="22">
                  <c:v>251</c:v>
                </c:pt>
                <c:pt idx="23">
                  <c:v>473</c:v>
                </c:pt>
                <c:pt idx="24">
                  <c:v>425</c:v>
                </c:pt>
                <c:pt idx="25">
                  <c:v>229</c:v>
                </c:pt>
                <c:pt idx="26">
                  <c:v>326</c:v>
                </c:pt>
                <c:pt idx="27">
                  <c:v>345</c:v>
                </c:pt>
                <c:pt idx="28">
                  <c:v>116</c:v>
                </c:pt>
                <c:pt idx="29">
                  <c:v>186</c:v>
                </c:pt>
                <c:pt idx="30">
                  <c:v>87</c:v>
                </c:pt>
                <c:pt idx="31">
                  <c:v>176</c:v>
                </c:pt>
                <c:pt idx="32">
                  <c:v>134</c:v>
                </c:pt>
                <c:pt idx="34">
                  <c:v>1</c:v>
                </c:pt>
                <c:pt idx="35">
                  <c:v>473</c:v>
                </c:pt>
                <c:pt idx="36">
                  <c:v>145.5</c:v>
                </c:pt>
                <c:pt idx="37">
                  <c:v>96</c:v>
                </c:pt>
                <c:pt idx="38">
                  <c:v>135.1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0-408F-833F-7F184CCE5EFC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commits_with_agent_signal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analysis!$A$2:$A$40</c:f>
              <c:strCache>
                <c:ptCount val="39"/>
                <c:pt idx="0">
                  <c:v>2025-09-08</c:v>
                </c:pt>
                <c:pt idx="1">
                  <c:v>2025-09-15</c:v>
                </c:pt>
                <c:pt idx="2">
                  <c:v>2025-09-22</c:v>
                </c:pt>
                <c:pt idx="3">
                  <c:v>2025-09-29</c:v>
                </c:pt>
                <c:pt idx="4">
                  <c:v>2025-10-06</c:v>
                </c:pt>
                <c:pt idx="5">
                  <c:v>2025-10-13</c:v>
                </c:pt>
                <c:pt idx="6">
                  <c:v>2025-10-20</c:v>
                </c:pt>
                <c:pt idx="7">
                  <c:v>2025-10-27</c:v>
                </c:pt>
                <c:pt idx="8">
                  <c:v>2025-11-03</c:v>
                </c:pt>
                <c:pt idx="9">
                  <c:v>2025-11-10</c:v>
                </c:pt>
                <c:pt idx="10">
                  <c:v>2025-11-17</c:v>
                </c:pt>
                <c:pt idx="11">
                  <c:v>2025-11-24</c:v>
                </c:pt>
                <c:pt idx="12">
                  <c:v>2025-12-01</c:v>
                </c:pt>
                <c:pt idx="13">
                  <c:v>2025-12-08</c:v>
                </c:pt>
                <c:pt idx="14">
                  <c:v>2025-12-15</c:v>
                </c:pt>
                <c:pt idx="15">
                  <c:v>2025-12-22</c:v>
                </c:pt>
                <c:pt idx="16">
                  <c:v>2025-12-29</c:v>
                </c:pt>
                <c:pt idx="17">
                  <c:v>2026-01-12</c:v>
                </c:pt>
                <c:pt idx="18">
                  <c:v>2026-01-19</c:v>
                </c:pt>
                <c:pt idx="19">
                  <c:v>2026-01-26</c:v>
                </c:pt>
                <c:pt idx="20">
                  <c:v>2026-02-02</c:v>
                </c:pt>
                <c:pt idx="21">
                  <c:v>2026-02-09</c:v>
                </c:pt>
                <c:pt idx="22">
                  <c:v>2026-02-16</c:v>
                </c:pt>
                <c:pt idx="23">
                  <c:v>2026-02-23</c:v>
                </c:pt>
                <c:pt idx="24">
                  <c:v>2026-03-02</c:v>
                </c:pt>
                <c:pt idx="25">
                  <c:v>2026-03-09</c:v>
                </c:pt>
                <c:pt idx="26">
                  <c:v>2026-03-16</c:v>
                </c:pt>
                <c:pt idx="27">
                  <c:v>2026-03-23</c:v>
                </c:pt>
                <c:pt idx="28">
                  <c:v>2026-03-30</c:v>
                </c:pt>
                <c:pt idx="29">
                  <c:v>2026-04-06</c:v>
                </c:pt>
                <c:pt idx="30">
                  <c:v>2026-04-13</c:v>
                </c:pt>
                <c:pt idx="31">
                  <c:v>2026-04-20</c:v>
                </c:pt>
                <c:pt idx="32">
                  <c:v>2026-04-27</c:v>
                </c:pt>
                <c:pt idx="34">
                  <c:v>min</c:v>
                </c:pt>
                <c:pt idx="35">
                  <c:v>max</c:v>
                </c:pt>
                <c:pt idx="36">
                  <c:v>mean</c:v>
                </c:pt>
                <c:pt idx="37">
                  <c:v>median</c:v>
                </c:pt>
                <c:pt idx="38">
                  <c:v>stddev</c:v>
                </c:pt>
              </c:strCache>
            </c:strRef>
          </c:cat>
          <c:val>
            <c:numRef>
              <c:f>analysis!$C$2:$C$40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14</c:v>
                </c:pt>
                <c:pt idx="4">
                  <c:v>6</c:v>
                </c:pt>
                <c:pt idx="5">
                  <c:v>14</c:v>
                </c:pt>
                <c:pt idx="6">
                  <c:v>35</c:v>
                </c:pt>
                <c:pt idx="7">
                  <c:v>10</c:v>
                </c:pt>
                <c:pt idx="8">
                  <c:v>4</c:v>
                </c:pt>
                <c:pt idx="9">
                  <c:v>56</c:v>
                </c:pt>
                <c:pt idx="10">
                  <c:v>32</c:v>
                </c:pt>
                <c:pt idx="11">
                  <c:v>30</c:v>
                </c:pt>
                <c:pt idx="12">
                  <c:v>4</c:v>
                </c:pt>
                <c:pt idx="13">
                  <c:v>3</c:v>
                </c:pt>
                <c:pt idx="14">
                  <c:v>21</c:v>
                </c:pt>
                <c:pt idx="15">
                  <c:v>6</c:v>
                </c:pt>
                <c:pt idx="16">
                  <c:v>1</c:v>
                </c:pt>
                <c:pt idx="17">
                  <c:v>364</c:v>
                </c:pt>
                <c:pt idx="18">
                  <c:v>28</c:v>
                </c:pt>
                <c:pt idx="19">
                  <c:v>5</c:v>
                </c:pt>
                <c:pt idx="20">
                  <c:v>65</c:v>
                </c:pt>
                <c:pt idx="21">
                  <c:v>346</c:v>
                </c:pt>
                <c:pt idx="22">
                  <c:v>197</c:v>
                </c:pt>
                <c:pt idx="23">
                  <c:v>366</c:v>
                </c:pt>
                <c:pt idx="24">
                  <c:v>212</c:v>
                </c:pt>
                <c:pt idx="25">
                  <c:v>79</c:v>
                </c:pt>
                <c:pt idx="26">
                  <c:v>139</c:v>
                </c:pt>
                <c:pt idx="27">
                  <c:v>119</c:v>
                </c:pt>
                <c:pt idx="28">
                  <c:v>67</c:v>
                </c:pt>
                <c:pt idx="29">
                  <c:v>22</c:v>
                </c:pt>
                <c:pt idx="30">
                  <c:v>7</c:v>
                </c:pt>
                <c:pt idx="31">
                  <c:v>7</c:v>
                </c:pt>
                <c:pt idx="32">
                  <c:v>1</c:v>
                </c:pt>
                <c:pt idx="34">
                  <c:v>1</c:v>
                </c:pt>
                <c:pt idx="35">
                  <c:v>366</c:v>
                </c:pt>
                <c:pt idx="36">
                  <c:v>68.599999999999994</c:v>
                </c:pt>
                <c:pt idx="37">
                  <c:v>21</c:v>
                </c:pt>
                <c:pt idx="38">
                  <c:v>106.1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90-408F-833F-7F184CCE5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178735"/>
        <c:axId val="885704655"/>
      </c:lineChart>
      <c:catAx>
        <c:axId val="1026178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704655"/>
        <c:crosses val="autoZero"/>
        <c:auto val="1"/>
        <c:lblAlgn val="ctr"/>
        <c:lblOffset val="100"/>
        <c:noMultiLvlLbl val="0"/>
      </c:catAx>
      <c:valAx>
        <c:axId val="88570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78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'agent_rate'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analysis!$D$1</c:f>
              <c:strCache>
                <c:ptCount val="1"/>
                <c:pt idx="0">
                  <c:v>agent_rate</c:v>
                </c:pt>
              </c:strCache>
            </c:strRef>
          </c:tx>
          <c:marker>
            <c:symbol val="none"/>
          </c:marker>
          <c:cat>
            <c:strRef>
              <c:f>analysis!$A$2:$A$40</c:f>
              <c:strCache>
                <c:ptCount val="39"/>
                <c:pt idx="0">
                  <c:v>2025-09-08</c:v>
                </c:pt>
                <c:pt idx="1">
                  <c:v>2025-09-15</c:v>
                </c:pt>
                <c:pt idx="2">
                  <c:v>2025-09-22</c:v>
                </c:pt>
                <c:pt idx="3">
                  <c:v>2025-09-29</c:v>
                </c:pt>
                <c:pt idx="4">
                  <c:v>2025-10-06</c:v>
                </c:pt>
                <c:pt idx="5">
                  <c:v>2025-10-13</c:v>
                </c:pt>
                <c:pt idx="6">
                  <c:v>2025-10-20</c:v>
                </c:pt>
                <c:pt idx="7">
                  <c:v>2025-10-27</c:v>
                </c:pt>
                <c:pt idx="8">
                  <c:v>2025-11-03</c:v>
                </c:pt>
                <c:pt idx="9">
                  <c:v>2025-11-10</c:v>
                </c:pt>
                <c:pt idx="10">
                  <c:v>2025-11-17</c:v>
                </c:pt>
                <c:pt idx="11">
                  <c:v>2025-11-24</c:v>
                </c:pt>
                <c:pt idx="12">
                  <c:v>2025-12-01</c:v>
                </c:pt>
                <c:pt idx="13">
                  <c:v>2025-12-08</c:v>
                </c:pt>
                <c:pt idx="14">
                  <c:v>2025-12-15</c:v>
                </c:pt>
                <c:pt idx="15">
                  <c:v>2025-12-22</c:v>
                </c:pt>
                <c:pt idx="16">
                  <c:v>2025-12-29</c:v>
                </c:pt>
                <c:pt idx="17">
                  <c:v>2026-01-12</c:v>
                </c:pt>
                <c:pt idx="18">
                  <c:v>2026-01-19</c:v>
                </c:pt>
                <c:pt idx="19">
                  <c:v>2026-01-26</c:v>
                </c:pt>
                <c:pt idx="20">
                  <c:v>2026-02-02</c:v>
                </c:pt>
                <c:pt idx="21">
                  <c:v>2026-02-09</c:v>
                </c:pt>
                <c:pt idx="22">
                  <c:v>2026-02-16</c:v>
                </c:pt>
                <c:pt idx="23">
                  <c:v>2026-02-23</c:v>
                </c:pt>
                <c:pt idx="24">
                  <c:v>2026-03-02</c:v>
                </c:pt>
                <c:pt idx="25">
                  <c:v>2026-03-09</c:v>
                </c:pt>
                <c:pt idx="26">
                  <c:v>2026-03-16</c:v>
                </c:pt>
                <c:pt idx="27">
                  <c:v>2026-03-23</c:v>
                </c:pt>
                <c:pt idx="28">
                  <c:v>2026-03-30</c:v>
                </c:pt>
                <c:pt idx="29">
                  <c:v>2026-04-06</c:v>
                </c:pt>
                <c:pt idx="30">
                  <c:v>2026-04-13</c:v>
                </c:pt>
                <c:pt idx="31">
                  <c:v>2026-04-20</c:v>
                </c:pt>
                <c:pt idx="32">
                  <c:v>2026-04-27</c:v>
                </c:pt>
                <c:pt idx="34">
                  <c:v>min</c:v>
                </c:pt>
                <c:pt idx="35">
                  <c:v>max</c:v>
                </c:pt>
                <c:pt idx="36">
                  <c:v>mean</c:v>
                </c:pt>
                <c:pt idx="37">
                  <c:v>median</c:v>
                </c:pt>
                <c:pt idx="38">
                  <c:v>stddev</c:v>
                </c:pt>
              </c:strCache>
            </c:strRef>
          </c:cat>
          <c:val>
            <c:numRef>
              <c:f>analysis!$D$2:$D$40</c:f>
              <c:numCache>
                <c:formatCode>General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9.1</c:v>
                </c:pt>
                <c:pt idx="5">
                  <c:v>13.6</c:v>
                </c:pt>
                <c:pt idx="6">
                  <c:v>26.7</c:v>
                </c:pt>
                <c:pt idx="7">
                  <c:v>10.4</c:v>
                </c:pt>
                <c:pt idx="8">
                  <c:v>44.4</c:v>
                </c:pt>
                <c:pt idx="9">
                  <c:v>98.2</c:v>
                </c:pt>
                <c:pt idx="10">
                  <c:v>34.4</c:v>
                </c:pt>
                <c:pt idx="11">
                  <c:v>27.8</c:v>
                </c:pt>
                <c:pt idx="12">
                  <c:v>8.1999999999999993</c:v>
                </c:pt>
                <c:pt idx="13">
                  <c:v>3.6</c:v>
                </c:pt>
                <c:pt idx="14">
                  <c:v>17.100000000000001</c:v>
                </c:pt>
                <c:pt idx="15">
                  <c:v>17.600000000000001</c:v>
                </c:pt>
                <c:pt idx="16">
                  <c:v>1.2</c:v>
                </c:pt>
                <c:pt idx="17">
                  <c:v>88.6</c:v>
                </c:pt>
                <c:pt idx="18">
                  <c:v>100</c:v>
                </c:pt>
                <c:pt idx="19">
                  <c:v>7.9</c:v>
                </c:pt>
                <c:pt idx="20">
                  <c:v>77.400000000000006</c:v>
                </c:pt>
                <c:pt idx="21">
                  <c:v>83.2</c:v>
                </c:pt>
                <c:pt idx="22">
                  <c:v>78.5</c:v>
                </c:pt>
                <c:pt idx="23">
                  <c:v>77.400000000000006</c:v>
                </c:pt>
                <c:pt idx="24">
                  <c:v>49.9</c:v>
                </c:pt>
                <c:pt idx="25">
                  <c:v>34.5</c:v>
                </c:pt>
                <c:pt idx="26">
                  <c:v>42.6</c:v>
                </c:pt>
                <c:pt idx="27">
                  <c:v>34.5</c:v>
                </c:pt>
                <c:pt idx="28">
                  <c:v>57.8</c:v>
                </c:pt>
                <c:pt idx="29">
                  <c:v>11.8</c:v>
                </c:pt>
                <c:pt idx="30">
                  <c:v>8</c:v>
                </c:pt>
                <c:pt idx="31">
                  <c:v>4</c:v>
                </c:pt>
                <c:pt idx="32">
                  <c:v>0.7</c:v>
                </c:pt>
                <c:pt idx="34">
                  <c:v>0.7</c:v>
                </c:pt>
                <c:pt idx="35">
                  <c:v>100</c:v>
                </c:pt>
                <c:pt idx="36">
                  <c:v>44.5</c:v>
                </c:pt>
                <c:pt idx="37">
                  <c:v>34.5</c:v>
                </c:pt>
                <c:pt idx="38">
                  <c:v>36.200000000000003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C15-42CD-B069-86F1ABBD0C90}"/>
            </c:ext>
          </c:extLst>
        </c:ser>
        <c:ser>
          <c:idx val="3"/>
          <c:order val="1"/>
          <c:tx>
            <c:strRef>
              <c:f>analysis!$D$1</c:f>
              <c:strCache>
                <c:ptCount val="1"/>
                <c:pt idx="0">
                  <c:v>agent_rate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analysis!$A$2:$A$40</c:f>
              <c:strCache>
                <c:ptCount val="39"/>
                <c:pt idx="0">
                  <c:v>2025-09-08</c:v>
                </c:pt>
                <c:pt idx="1">
                  <c:v>2025-09-15</c:v>
                </c:pt>
                <c:pt idx="2">
                  <c:v>2025-09-22</c:v>
                </c:pt>
                <c:pt idx="3">
                  <c:v>2025-09-29</c:v>
                </c:pt>
                <c:pt idx="4">
                  <c:v>2025-10-06</c:v>
                </c:pt>
                <c:pt idx="5">
                  <c:v>2025-10-13</c:v>
                </c:pt>
                <c:pt idx="6">
                  <c:v>2025-10-20</c:v>
                </c:pt>
                <c:pt idx="7">
                  <c:v>2025-10-27</c:v>
                </c:pt>
                <c:pt idx="8">
                  <c:v>2025-11-03</c:v>
                </c:pt>
                <c:pt idx="9">
                  <c:v>2025-11-10</c:v>
                </c:pt>
                <c:pt idx="10">
                  <c:v>2025-11-17</c:v>
                </c:pt>
                <c:pt idx="11">
                  <c:v>2025-11-24</c:v>
                </c:pt>
                <c:pt idx="12">
                  <c:v>2025-12-01</c:v>
                </c:pt>
                <c:pt idx="13">
                  <c:v>2025-12-08</c:v>
                </c:pt>
                <c:pt idx="14">
                  <c:v>2025-12-15</c:v>
                </c:pt>
                <c:pt idx="15">
                  <c:v>2025-12-22</c:v>
                </c:pt>
                <c:pt idx="16">
                  <c:v>2025-12-29</c:v>
                </c:pt>
                <c:pt idx="17">
                  <c:v>2026-01-12</c:v>
                </c:pt>
                <c:pt idx="18">
                  <c:v>2026-01-19</c:v>
                </c:pt>
                <c:pt idx="19">
                  <c:v>2026-01-26</c:v>
                </c:pt>
                <c:pt idx="20">
                  <c:v>2026-02-02</c:v>
                </c:pt>
                <c:pt idx="21">
                  <c:v>2026-02-09</c:v>
                </c:pt>
                <c:pt idx="22">
                  <c:v>2026-02-16</c:v>
                </c:pt>
                <c:pt idx="23">
                  <c:v>2026-02-23</c:v>
                </c:pt>
                <c:pt idx="24">
                  <c:v>2026-03-02</c:v>
                </c:pt>
                <c:pt idx="25">
                  <c:v>2026-03-09</c:v>
                </c:pt>
                <c:pt idx="26">
                  <c:v>2026-03-16</c:v>
                </c:pt>
                <c:pt idx="27">
                  <c:v>2026-03-23</c:v>
                </c:pt>
                <c:pt idx="28">
                  <c:v>2026-03-30</c:v>
                </c:pt>
                <c:pt idx="29">
                  <c:v>2026-04-06</c:v>
                </c:pt>
                <c:pt idx="30">
                  <c:v>2026-04-13</c:v>
                </c:pt>
                <c:pt idx="31">
                  <c:v>2026-04-20</c:v>
                </c:pt>
                <c:pt idx="32">
                  <c:v>2026-04-27</c:v>
                </c:pt>
                <c:pt idx="34">
                  <c:v>min</c:v>
                </c:pt>
                <c:pt idx="35">
                  <c:v>max</c:v>
                </c:pt>
                <c:pt idx="36">
                  <c:v>mean</c:v>
                </c:pt>
                <c:pt idx="37">
                  <c:v>median</c:v>
                </c:pt>
                <c:pt idx="38">
                  <c:v>stddev</c:v>
                </c:pt>
              </c:strCache>
            </c:strRef>
          </c:cat>
          <c:val>
            <c:numRef>
              <c:f>analysis!$D$2:$D$40</c:f>
              <c:numCache>
                <c:formatCode>General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9.1</c:v>
                </c:pt>
                <c:pt idx="5">
                  <c:v>13.6</c:v>
                </c:pt>
                <c:pt idx="6">
                  <c:v>26.7</c:v>
                </c:pt>
                <c:pt idx="7">
                  <c:v>10.4</c:v>
                </c:pt>
                <c:pt idx="8">
                  <c:v>44.4</c:v>
                </c:pt>
                <c:pt idx="9">
                  <c:v>98.2</c:v>
                </c:pt>
                <c:pt idx="10">
                  <c:v>34.4</c:v>
                </c:pt>
                <c:pt idx="11">
                  <c:v>27.8</c:v>
                </c:pt>
                <c:pt idx="12">
                  <c:v>8.1999999999999993</c:v>
                </c:pt>
                <c:pt idx="13">
                  <c:v>3.6</c:v>
                </c:pt>
                <c:pt idx="14">
                  <c:v>17.100000000000001</c:v>
                </c:pt>
                <c:pt idx="15">
                  <c:v>17.600000000000001</c:v>
                </c:pt>
                <c:pt idx="16">
                  <c:v>1.2</c:v>
                </c:pt>
                <c:pt idx="17">
                  <c:v>88.6</c:v>
                </c:pt>
                <c:pt idx="18">
                  <c:v>100</c:v>
                </c:pt>
                <c:pt idx="19">
                  <c:v>7.9</c:v>
                </c:pt>
                <c:pt idx="20">
                  <c:v>77.400000000000006</c:v>
                </c:pt>
                <c:pt idx="21">
                  <c:v>83.2</c:v>
                </c:pt>
                <c:pt idx="22">
                  <c:v>78.5</c:v>
                </c:pt>
                <c:pt idx="23">
                  <c:v>77.400000000000006</c:v>
                </c:pt>
                <c:pt idx="24">
                  <c:v>49.9</c:v>
                </c:pt>
                <c:pt idx="25">
                  <c:v>34.5</c:v>
                </c:pt>
                <c:pt idx="26">
                  <c:v>42.6</c:v>
                </c:pt>
                <c:pt idx="27">
                  <c:v>34.5</c:v>
                </c:pt>
                <c:pt idx="28">
                  <c:v>57.8</c:v>
                </c:pt>
                <c:pt idx="29">
                  <c:v>11.8</c:v>
                </c:pt>
                <c:pt idx="30">
                  <c:v>8</c:v>
                </c:pt>
                <c:pt idx="31">
                  <c:v>4</c:v>
                </c:pt>
                <c:pt idx="32">
                  <c:v>0.7</c:v>
                </c:pt>
                <c:pt idx="34">
                  <c:v>0.7</c:v>
                </c:pt>
                <c:pt idx="35">
                  <c:v>100</c:v>
                </c:pt>
                <c:pt idx="36">
                  <c:v>44.5</c:v>
                </c:pt>
                <c:pt idx="37">
                  <c:v>34.5</c:v>
                </c:pt>
                <c:pt idx="38">
                  <c:v>36.200000000000003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C15-42CD-B069-86F1ABBD0C90}"/>
            </c:ext>
          </c:extLst>
        </c:ser>
        <c:ser>
          <c:idx val="1"/>
          <c:order val="2"/>
          <c:tx>
            <c:strRef>
              <c:f>analysis!$D$1</c:f>
              <c:strCache>
                <c:ptCount val="1"/>
                <c:pt idx="0">
                  <c:v>agent_rate</c:v>
                </c:pt>
              </c:strCache>
            </c:strRef>
          </c:tx>
          <c:marker>
            <c:symbol val="none"/>
          </c:marker>
          <c:cat>
            <c:strRef>
              <c:f>analysis!$A$2:$A$40</c:f>
              <c:strCache>
                <c:ptCount val="39"/>
                <c:pt idx="0">
                  <c:v>2025-09-08</c:v>
                </c:pt>
                <c:pt idx="1">
                  <c:v>2025-09-15</c:v>
                </c:pt>
                <c:pt idx="2">
                  <c:v>2025-09-22</c:v>
                </c:pt>
                <c:pt idx="3">
                  <c:v>2025-09-29</c:v>
                </c:pt>
                <c:pt idx="4">
                  <c:v>2025-10-06</c:v>
                </c:pt>
                <c:pt idx="5">
                  <c:v>2025-10-13</c:v>
                </c:pt>
                <c:pt idx="6">
                  <c:v>2025-10-20</c:v>
                </c:pt>
                <c:pt idx="7">
                  <c:v>2025-10-27</c:v>
                </c:pt>
                <c:pt idx="8">
                  <c:v>2025-11-03</c:v>
                </c:pt>
                <c:pt idx="9">
                  <c:v>2025-11-10</c:v>
                </c:pt>
                <c:pt idx="10">
                  <c:v>2025-11-17</c:v>
                </c:pt>
                <c:pt idx="11">
                  <c:v>2025-11-24</c:v>
                </c:pt>
                <c:pt idx="12">
                  <c:v>2025-12-01</c:v>
                </c:pt>
                <c:pt idx="13">
                  <c:v>2025-12-08</c:v>
                </c:pt>
                <c:pt idx="14">
                  <c:v>2025-12-15</c:v>
                </c:pt>
                <c:pt idx="15">
                  <c:v>2025-12-22</c:v>
                </c:pt>
                <c:pt idx="16">
                  <c:v>2025-12-29</c:v>
                </c:pt>
                <c:pt idx="17">
                  <c:v>2026-01-12</c:v>
                </c:pt>
                <c:pt idx="18">
                  <c:v>2026-01-19</c:v>
                </c:pt>
                <c:pt idx="19">
                  <c:v>2026-01-26</c:v>
                </c:pt>
                <c:pt idx="20">
                  <c:v>2026-02-02</c:v>
                </c:pt>
                <c:pt idx="21">
                  <c:v>2026-02-09</c:v>
                </c:pt>
                <c:pt idx="22">
                  <c:v>2026-02-16</c:v>
                </c:pt>
                <c:pt idx="23">
                  <c:v>2026-02-23</c:v>
                </c:pt>
                <c:pt idx="24">
                  <c:v>2026-03-02</c:v>
                </c:pt>
                <c:pt idx="25">
                  <c:v>2026-03-09</c:v>
                </c:pt>
                <c:pt idx="26">
                  <c:v>2026-03-16</c:v>
                </c:pt>
                <c:pt idx="27">
                  <c:v>2026-03-23</c:v>
                </c:pt>
                <c:pt idx="28">
                  <c:v>2026-03-30</c:v>
                </c:pt>
                <c:pt idx="29">
                  <c:v>2026-04-06</c:v>
                </c:pt>
                <c:pt idx="30">
                  <c:v>2026-04-13</c:v>
                </c:pt>
                <c:pt idx="31">
                  <c:v>2026-04-20</c:v>
                </c:pt>
                <c:pt idx="32">
                  <c:v>2026-04-27</c:v>
                </c:pt>
                <c:pt idx="34">
                  <c:v>min</c:v>
                </c:pt>
                <c:pt idx="35">
                  <c:v>max</c:v>
                </c:pt>
                <c:pt idx="36">
                  <c:v>mean</c:v>
                </c:pt>
                <c:pt idx="37">
                  <c:v>median</c:v>
                </c:pt>
                <c:pt idx="38">
                  <c:v>stddev</c:v>
                </c:pt>
              </c:strCache>
            </c:strRef>
          </c:cat>
          <c:val>
            <c:numRef>
              <c:f>analysis!$D$2:$D$40</c:f>
              <c:numCache>
                <c:formatCode>General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9.1</c:v>
                </c:pt>
                <c:pt idx="5">
                  <c:v>13.6</c:v>
                </c:pt>
                <c:pt idx="6">
                  <c:v>26.7</c:v>
                </c:pt>
                <c:pt idx="7">
                  <c:v>10.4</c:v>
                </c:pt>
                <c:pt idx="8">
                  <c:v>44.4</c:v>
                </c:pt>
                <c:pt idx="9">
                  <c:v>98.2</c:v>
                </c:pt>
                <c:pt idx="10">
                  <c:v>34.4</c:v>
                </c:pt>
                <c:pt idx="11">
                  <c:v>27.8</c:v>
                </c:pt>
                <c:pt idx="12">
                  <c:v>8.1999999999999993</c:v>
                </c:pt>
                <c:pt idx="13">
                  <c:v>3.6</c:v>
                </c:pt>
                <c:pt idx="14">
                  <c:v>17.100000000000001</c:v>
                </c:pt>
                <c:pt idx="15">
                  <c:v>17.600000000000001</c:v>
                </c:pt>
                <c:pt idx="16">
                  <c:v>1.2</c:v>
                </c:pt>
                <c:pt idx="17">
                  <c:v>88.6</c:v>
                </c:pt>
                <c:pt idx="18">
                  <c:v>100</c:v>
                </c:pt>
                <c:pt idx="19">
                  <c:v>7.9</c:v>
                </c:pt>
                <c:pt idx="20">
                  <c:v>77.400000000000006</c:v>
                </c:pt>
                <c:pt idx="21">
                  <c:v>83.2</c:v>
                </c:pt>
                <c:pt idx="22">
                  <c:v>78.5</c:v>
                </c:pt>
                <c:pt idx="23">
                  <c:v>77.400000000000006</c:v>
                </c:pt>
                <c:pt idx="24">
                  <c:v>49.9</c:v>
                </c:pt>
                <c:pt idx="25">
                  <c:v>34.5</c:v>
                </c:pt>
                <c:pt idx="26">
                  <c:v>42.6</c:v>
                </c:pt>
                <c:pt idx="27">
                  <c:v>34.5</c:v>
                </c:pt>
                <c:pt idx="28">
                  <c:v>57.8</c:v>
                </c:pt>
                <c:pt idx="29">
                  <c:v>11.8</c:v>
                </c:pt>
                <c:pt idx="30">
                  <c:v>8</c:v>
                </c:pt>
                <c:pt idx="31">
                  <c:v>4</c:v>
                </c:pt>
                <c:pt idx="32">
                  <c:v>0.7</c:v>
                </c:pt>
                <c:pt idx="34">
                  <c:v>0.7</c:v>
                </c:pt>
                <c:pt idx="35">
                  <c:v>100</c:v>
                </c:pt>
                <c:pt idx="36">
                  <c:v>44.5</c:v>
                </c:pt>
                <c:pt idx="37">
                  <c:v>34.5</c:v>
                </c:pt>
                <c:pt idx="38">
                  <c:v>36.200000000000003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15-42CD-B069-86F1ABBD0C90}"/>
            </c:ext>
          </c:extLst>
        </c:ser>
        <c:ser>
          <c:idx val="0"/>
          <c:order val="3"/>
          <c:tx>
            <c:strRef>
              <c:f>analysis!$D$1</c:f>
              <c:strCache>
                <c:ptCount val="1"/>
                <c:pt idx="0">
                  <c:v>agent_rate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analysis!$A$2:$A$40</c:f>
              <c:strCache>
                <c:ptCount val="39"/>
                <c:pt idx="0">
                  <c:v>2025-09-08</c:v>
                </c:pt>
                <c:pt idx="1">
                  <c:v>2025-09-15</c:v>
                </c:pt>
                <c:pt idx="2">
                  <c:v>2025-09-22</c:v>
                </c:pt>
                <c:pt idx="3">
                  <c:v>2025-09-29</c:v>
                </c:pt>
                <c:pt idx="4">
                  <c:v>2025-10-06</c:v>
                </c:pt>
                <c:pt idx="5">
                  <c:v>2025-10-13</c:v>
                </c:pt>
                <c:pt idx="6">
                  <c:v>2025-10-20</c:v>
                </c:pt>
                <c:pt idx="7">
                  <c:v>2025-10-27</c:v>
                </c:pt>
                <c:pt idx="8">
                  <c:v>2025-11-03</c:v>
                </c:pt>
                <c:pt idx="9">
                  <c:v>2025-11-10</c:v>
                </c:pt>
                <c:pt idx="10">
                  <c:v>2025-11-17</c:v>
                </c:pt>
                <c:pt idx="11">
                  <c:v>2025-11-24</c:v>
                </c:pt>
                <c:pt idx="12">
                  <c:v>2025-12-01</c:v>
                </c:pt>
                <c:pt idx="13">
                  <c:v>2025-12-08</c:v>
                </c:pt>
                <c:pt idx="14">
                  <c:v>2025-12-15</c:v>
                </c:pt>
                <c:pt idx="15">
                  <c:v>2025-12-22</c:v>
                </c:pt>
                <c:pt idx="16">
                  <c:v>2025-12-29</c:v>
                </c:pt>
                <c:pt idx="17">
                  <c:v>2026-01-12</c:v>
                </c:pt>
                <c:pt idx="18">
                  <c:v>2026-01-19</c:v>
                </c:pt>
                <c:pt idx="19">
                  <c:v>2026-01-26</c:v>
                </c:pt>
                <c:pt idx="20">
                  <c:v>2026-02-02</c:v>
                </c:pt>
                <c:pt idx="21">
                  <c:v>2026-02-09</c:v>
                </c:pt>
                <c:pt idx="22">
                  <c:v>2026-02-16</c:v>
                </c:pt>
                <c:pt idx="23">
                  <c:v>2026-02-23</c:v>
                </c:pt>
                <c:pt idx="24">
                  <c:v>2026-03-02</c:v>
                </c:pt>
                <c:pt idx="25">
                  <c:v>2026-03-09</c:v>
                </c:pt>
                <c:pt idx="26">
                  <c:v>2026-03-16</c:v>
                </c:pt>
                <c:pt idx="27">
                  <c:v>2026-03-23</c:v>
                </c:pt>
                <c:pt idx="28">
                  <c:v>2026-03-30</c:v>
                </c:pt>
                <c:pt idx="29">
                  <c:v>2026-04-06</c:v>
                </c:pt>
                <c:pt idx="30">
                  <c:v>2026-04-13</c:v>
                </c:pt>
                <c:pt idx="31">
                  <c:v>2026-04-20</c:v>
                </c:pt>
                <c:pt idx="32">
                  <c:v>2026-04-27</c:v>
                </c:pt>
                <c:pt idx="34">
                  <c:v>min</c:v>
                </c:pt>
                <c:pt idx="35">
                  <c:v>max</c:v>
                </c:pt>
                <c:pt idx="36">
                  <c:v>mean</c:v>
                </c:pt>
                <c:pt idx="37">
                  <c:v>median</c:v>
                </c:pt>
                <c:pt idx="38">
                  <c:v>stddev</c:v>
                </c:pt>
              </c:strCache>
            </c:strRef>
          </c:cat>
          <c:val>
            <c:numRef>
              <c:f>analysis!$D$2:$D$40</c:f>
              <c:numCache>
                <c:formatCode>General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9.1</c:v>
                </c:pt>
                <c:pt idx="5">
                  <c:v>13.6</c:v>
                </c:pt>
                <c:pt idx="6">
                  <c:v>26.7</c:v>
                </c:pt>
                <c:pt idx="7">
                  <c:v>10.4</c:v>
                </c:pt>
                <c:pt idx="8">
                  <c:v>44.4</c:v>
                </c:pt>
                <c:pt idx="9">
                  <c:v>98.2</c:v>
                </c:pt>
                <c:pt idx="10">
                  <c:v>34.4</c:v>
                </c:pt>
                <c:pt idx="11">
                  <c:v>27.8</c:v>
                </c:pt>
                <c:pt idx="12">
                  <c:v>8.1999999999999993</c:v>
                </c:pt>
                <c:pt idx="13">
                  <c:v>3.6</c:v>
                </c:pt>
                <c:pt idx="14">
                  <c:v>17.100000000000001</c:v>
                </c:pt>
                <c:pt idx="15">
                  <c:v>17.600000000000001</c:v>
                </c:pt>
                <c:pt idx="16">
                  <c:v>1.2</c:v>
                </c:pt>
                <c:pt idx="17">
                  <c:v>88.6</c:v>
                </c:pt>
                <c:pt idx="18">
                  <c:v>100</c:v>
                </c:pt>
                <c:pt idx="19">
                  <c:v>7.9</c:v>
                </c:pt>
                <c:pt idx="20">
                  <c:v>77.400000000000006</c:v>
                </c:pt>
                <c:pt idx="21">
                  <c:v>83.2</c:v>
                </c:pt>
                <c:pt idx="22">
                  <c:v>78.5</c:v>
                </c:pt>
                <c:pt idx="23">
                  <c:v>77.400000000000006</c:v>
                </c:pt>
                <c:pt idx="24">
                  <c:v>49.9</c:v>
                </c:pt>
                <c:pt idx="25">
                  <c:v>34.5</c:v>
                </c:pt>
                <c:pt idx="26">
                  <c:v>42.6</c:v>
                </c:pt>
                <c:pt idx="27">
                  <c:v>34.5</c:v>
                </c:pt>
                <c:pt idx="28">
                  <c:v>57.8</c:v>
                </c:pt>
                <c:pt idx="29">
                  <c:v>11.8</c:v>
                </c:pt>
                <c:pt idx="30">
                  <c:v>8</c:v>
                </c:pt>
                <c:pt idx="31">
                  <c:v>4</c:v>
                </c:pt>
                <c:pt idx="32">
                  <c:v>0.7</c:v>
                </c:pt>
                <c:pt idx="34">
                  <c:v>0.7</c:v>
                </c:pt>
                <c:pt idx="35">
                  <c:v>100</c:v>
                </c:pt>
                <c:pt idx="36">
                  <c:v>44.5</c:v>
                </c:pt>
                <c:pt idx="37">
                  <c:v>34.5</c:v>
                </c:pt>
                <c:pt idx="38">
                  <c:v>36.200000000000003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15-42CD-B069-86F1ABBD0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892975"/>
        <c:axId val="772894415"/>
      </c:lineChart>
      <c:catAx>
        <c:axId val="772892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894415"/>
        <c:crosses val="autoZero"/>
        <c:auto val="1"/>
        <c:lblAlgn val="ctr"/>
        <c:lblOffset val="100"/>
        <c:noMultiLvlLbl val="0"/>
      </c:catAx>
      <c:valAx>
        <c:axId val="7728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agent_rate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892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78657</xdr:colOff>
      <xdr:row>4</xdr:row>
      <xdr:rowOff>149252</xdr:rowOff>
    </xdr:from>
    <xdr:to>
      <xdr:col>8</xdr:col>
      <xdr:colOff>604637</xdr:colOff>
      <xdr:row>22</xdr:row>
      <xdr:rowOff>172889</xdr:rowOff>
    </xdr:to>
    <xdr:graphicFrame macro="">
      <xdr:nvGraphicFramePr>
        <xdr:cNvPr id="3" name="Chart 2" descr="Chart type: Line. 'commits_total', 'commits_with_agent_signal' by 'week'&#10;&#10;Description automatically generated">
          <a:extLst>
            <a:ext uri="{FF2B5EF4-FFF2-40B4-BE49-F238E27FC236}">
              <a16:creationId xmlns:a16="http://schemas.microsoft.com/office/drawing/2014/main" id="{BE34ADE2-7825-11E6-D453-F51D1E107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51229</xdr:colOff>
      <xdr:row>25</xdr:row>
      <xdr:rowOff>106243</xdr:rowOff>
    </xdr:from>
    <xdr:to>
      <xdr:col>8</xdr:col>
      <xdr:colOff>604806</xdr:colOff>
      <xdr:row>41</xdr:row>
      <xdr:rowOff>147278</xdr:rowOff>
    </xdr:to>
    <xdr:graphicFrame macro="">
      <xdr:nvGraphicFramePr>
        <xdr:cNvPr id="11" name="Chart 10" descr="Chart type: Line. 'agent_rate'&#10;&#10;Description automatically generated">
          <a:extLst>
            <a:ext uri="{FF2B5EF4-FFF2-40B4-BE49-F238E27FC236}">
              <a16:creationId xmlns:a16="http://schemas.microsoft.com/office/drawing/2014/main" id="{B26F1FE8-CCEC-2A7B-D116-D23F1F7F1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92EE2A56-B108-4EC5-AB24-D4CE79294859}" autoFormatId="16" applyNumberFormats="0" applyBorderFormats="0" applyFontFormats="0" applyPatternFormats="0" applyAlignmentFormats="0" applyWidthHeightFormats="0">
  <queryTableRefresh nextId="5">
    <queryTableFields count="4">
      <queryTableField id="1" name="week" tableColumnId="1"/>
      <queryTableField id="2" name="commits_total" tableColumnId="2"/>
      <queryTableField id="3" name="commits_with_agent_signal" tableColumnId="3"/>
      <queryTableField id="4" name="agent_rate" tableColumnId="4"/>
    </queryTableFields>
  </queryTableRefresh>
  <extLst>
    <ext xmlns:x15="http://schemas.microsoft.com/office/spreadsheetml/2010/11/main" uri="{883FBD77-0823-4a55-B5E3-86C4891E6966}">
      <x15:queryTable sourceDataName="Query - csv sourc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093978-8867-4F0A-BA61-57767341CFFD}" name="csv_source" displayName="csv_source" ref="A1:D40" tableType="queryTable" totalsRowShown="0">
  <autoFilter ref="A1:D40" xr:uid="{BC093978-8867-4F0A-BA61-57767341CFFD}"/>
  <tableColumns count="4">
    <tableColumn id="1" xr3:uid="{6B1BBC79-D082-4228-A421-ACD9061B3914}" uniqueName="1" name="week" queryTableFieldId="1" dataDxfId="0"/>
    <tableColumn id="2" xr3:uid="{FEBBA3CA-7733-4C2F-8B91-5C1B7384E55B}" uniqueName="2" name="commits_total" queryTableFieldId="2"/>
    <tableColumn id="3" xr3:uid="{E76DEC4E-8994-4311-9F80-45138C0BEC91}" uniqueName="3" name="commits_with_agent_signal" queryTableFieldId="3"/>
    <tableColumn id="4" xr3:uid="{42A66681-C92D-43CD-BA06-D41A34BD8024}" uniqueName="4" name="agent_rat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3045-23BB-403B-B2E1-27A6D41A74C2}">
  <dimension ref="A1:F58"/>
  <sheetViews>
    <sheetView tabSelected="1" zoomScale="85" zoomScaleNormal="85" workbookViewId="0">
      <selection sqref="A1:D34"/>
    </sheetView>
  </sheetViews>
  <sheetFormatPr defaultRowHeight="14.5" x14ac:dyDescent="0.35"/>
  <cols>
    <col min="1" max="1" width="10.1796875" bestFit="1" customWidth="1"/>
    <col min="2" max="2" width="15.6328125" bestFit="1" customWidth="1"/>
    <col min="3" max="3" width="27.08984375" bestFit="1" customWidth="1"/>
    <col min="4" max="4" width="12.26953125" bestFit="1" customWidth="1"/>
    <col min="6" max="6" width="76.453125" customWidth="1"/>
    <col min="15" max="15" width="11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F1" s="5" t="s">
        <v>41</v>
      </c>
    </row>
    <row r="2" spans="1:6" x14ac:dyDescent="0.35">
      <c r="A2" s="2" t="s">
        <v>42</v>
      </c>
      <c r="B2">
        <v>1</v>
      </c>
      <c r="C2">
        <v>1</v>
      </c>
      <c r="D2">
        <v>100</v>
      </c>
      <c r="F2" s="4" t="s">
        <v>43</v>
      </c>
    </row>
    <row r="3" spans="1:6" x14ac:dyDescent="0.35">
      <c r="A3" s="2" t="s">
        <v>9</v>
      </c>
      <c r="B3">
        <v>2</v>
      </c>
      <c r="C3">
        <v>2</v>
      </c>
      <c r="D3">
        <v>100</v>
      </c>
    </row>
    <row r="4" spans="1:6" x14ac:dyDescent="0.35">
      <c r="A4" s="2" t="s">
        <v>37</v>
      </c>
      <c r="B4">
        <v>1</v>
      </c>
      <c r="C4">
        <v>1</v>
      </c>
      <c r="D4">
        <v>100</v>
      </c>
    </row>
    <row r="5" spans="1:6" x14ac:dyDescent="0.35">
      <c r="A5" s="2" t="s">
        <v>38</v>
      </c>
      <c r="B5">
        <v>14</v>
      </c>
      <c r="C5">
        <v>14</v>
      </c>
      <c r="D5">
        <v>100</v>
      </c>
    </row>
    <row r="6" spans="1:6" x14ac:dyDescent="0.35">
      <c r="A6" s="2" t="s">
        <v>39</v>
      </c>
      <c r="B6">
        <v>66</v>
      </c>
      <c r="C6">
        <v>6</v>
      </c>
      <c r="D6">
        <v>9.1</v>
      </c>
    </row>
    <row r="7" spans="1:6" x14ac:dyDescent="0.35">
      <c r="A7" s="2" t="s">
        <v>40</v>
      </c>
      <c r="B7">
        <v>103</v>
      </c>
      <c r="C7">
        <v>14</v>
      </c>
      <c r="D7">
        <v>13.6</v>
      </c>
    </row>
    <row r="8" spans="1:6" x14ac:dyDescent="0.35">
      <c r="A8" s="2" t="s">
        <v>10</v>
      </c>
      <c r="B8">
        <v>131</v>
      </c>
      <c r="C8">
        <v>35</v>
      </c>
      <c r="D8">
        <v>26.7</v>
      </c>
    </row>
    <row r="9" spans="1:6" x14ac:dyDescent="0.35">
      <c r="A9" s="2" t="s">
        <v>11</v>
      </c>
      <c r="B9">
        <v>96</v>
      </c>
      <c r="C9">
        <v>10</v>
      </c>
      <c r="D9">
        <v>10.4</v>
      </c>
    </row>
    <row r="10" spans="1:6" x14ac:dyDescent="0.35">
      <c r="A10" s="2" t="s">
        <v>12</v>
      </c>
      <c r="B10">
        <v>9</v>
      </c>
      <c r="C10">
        <v>4</v>
      </c>
      <c r="D10">
        <v>44.4</v>
      </c>
    </row>
    <row r="11" spans="1:6" x14ac:dyDescent="0.35">
      <c r="A11" s="2" t="s">
        <v>13</v>
      </c>
      <c r="B11">
        <v>57</v>
      </c>
      <c r="C11">
        <v>56</v>
      </c>
      <c r="D11">
        <v>98.2</v>
      </c>
    </row>
    <row r="12" spans="1:6" x14ac:dyDescent="0.35">
      <c r="A12" s="2" t="s">
        <v>14</v>
      </c>
      <c r="B12">
        <v>93</v>
      </c>
      <c r="C12">
        <v>32</v>
      </c>
      <c r="D12">
        <v>34.4</v>
      </c>
    </row>
    <row r="13" spans="1:6" x14ac:dyDescent="0.35">
      <c r="A13" s="2" t="s">
        <v>15</v>
      </c>
      <c r="B13">
        <v>108</v>
      </c>
      <c r="C13">
        <v>30</v>
      </c>
      <c r="D13">
        <v>27.8</v>
      </c>
    </row>
    <row r="14" spans="1:6" x14ac:dyDescent="0.35">
      <c r="A14" s="2" t="s">
        <v>16</v>
      </c>
      <c r="B14">
        <v>49</v>
      </c>
      <c r="C14">
        <v>4</v>
      </c>
      <c r="D14">
        <v>8.1999999999999993</v>
      </c>
    </row>
    <row r="15" spans="1:6" x14ac:dyDescent="0.35">
      <c r="A15" s="2" t="s">
        <v>17</v>
      </c>
      <c r="B15">
        <v>84</v>
      </c>
      <c r="C15">
        <v>3</v>
      </c>
      <c r="D15">
        <v>3.6</v>
      </c>
    </row>
    <row r="16" spans="1:6" x14ac:dyDescent="0.35">
      <c r="A16" s="2" t="s">
        <v>18</v>
      </c>
      <c r="B16">
        <v>123</v>
      </c>
      <c r="C16">
        <v>21</v>
      </c>
      <c r="D16">
        <v>17.100000000000001</v>
      </c>
    </row>
    <row r="17" spans="1:4" x14ac:dyDescent="0.35">
      <c r="A17" s="2" t="s">
        <v>19</v>
      </c>
      <c r="B17">
        <v>34</v>
      </c>
      <c r="C17">
        <v>6</v>
      </c>
      <c r="D17">
        <v>17.600000000000001</v>
      </c>
    </row>
    <row r="18" spans="1:4" x14ac:dyDescent="0.35">
      <c r="A18" s="2" t="s">
        <v>20</v>
      </c>
      <c r="B18">
        <v>82</v>
      </c>
      <c r="C18">
        <v>1</v>
      </c>
      <c r="D18">
        <v>1.2</v>
      </c>
    </row>
    <row r="19" spans="1:4" x14ac:dyDescent="0.35">
      <c r="A19" s="2" t="s">
        <v>21</v>
      </c>
      <c r="B19">
        <v>411</v>
      </c>
      <c r="C19">
        <v>364</v>
      </c>
      <c r="D19">
        <v>88.6</v>
      </c>
    </row>
    <row r="20" spans="1:4" x14ac:dyDescent="0.35">
      <c r="A20" s="2" t="s">
        <v>22</v>
      </c>
      <c r="B20">
        <v>28</v>
      </c>
      <c r="C20">
        <v>28</v>
      </c>
      <c r="D20">
        <v>100</v>
      </c>
    </row>
    <row r="21" spans="1:4" x14ac:dyDescent="0.35">
      <c r="A21" s="2" t="s">
        <v>23</v>
      </c>
      <c r="B21">
        <v>63</v>
      </c>
      <c r="C21">
        <v>5</v>
      </c>
      <c r="D21">
        <v>7.9</v>
      </c>
    </row>
    <row r="22" spans="1:4" x14ac:dyDescent="0.35">
      <c r="A22" s="2" t="s">
        <v>24</v>
      </c>
      <c r="B22">
        <v>84</v>
      </c>
      <c r="C22">
        <v>65</v>
      </c>
      <c r="D22">
        <v>77.400000000000006</v>
      </c>
    </row>
    <row r="23" spans="1:4" x14ac:dyDescent="0.35">
      <c r="A23" s="2" t="s">
        <v>25</v>
      </c>
      <c r="B23">
        <v>416</v>
      </c>
      <c r="C23">
        <v>346</v>
      </c>
      <c r="D23">
        <v>83.2</v>
      </c>
    </row>
    <row r="24" spans="1:4" x14ac:dyDescent="0.35">
      <c r="A24" s="2" t="s">
        <v>26</v>
      </c>
      <c r="B24">
        <v>251</v>
      </c>
      <c r="C24">
        <v>197</v>
      </c>
      <c r="D24">
        <v>78.5</v>
      </c>
    </row>
    <row r="25" spans="1:4" x14ac:dyDescent="0.35">
      <c r="A25" s="2" t="s">
        <v>27</v>
      </c>
      <c r="B25">
        <v>473</v>
      </c>
      <c r="C25">
        <v>366</v>
      </c>
      <c r="D25">
        <v>77.400000000000006</v>
      </c>
    </row>
    <row r="26" spans="1:4" x14ac:dyDescent="0.35">
      <c r="A26" s="2" t="s">
        <v>28</v>
      </c>
      <c r="B26">
        <v>425</v>
      </c>
      <c r="C26">
        <v>212</v>
      </c>
      <c r="D26">
        <v>49.9</v>
      </c>
    </row>
    <row r="27" spans="1:4" x14ac:dyDescent="0.35">
      <c r="A27" s="2" t="s">
        <v>29</v>
      </c>
      <c r="B27">
        <v>229</v>
      </c>
      <c r="C27">
        <v>79</v>
      </c>
      <c r="D27">
        <v>34.5</v>
      </c>
    </row>
    <row r="28" spans="1:4" x14ac:dyDescent="0.35">
      <c r="A28" s="2" t="s">
        <v>30</v>
      </c>
      <c r="B28">
        <v>326</v>
      </c>
      <c r="C28">
        <v>139</v>
      </c>
      <c r="D28">
        <v>42.6</v>
      </c>
    </row>
    <row r="29" spans="1:4" x14ac:dyDescent="0.35">
      <c r="A29" s="2" t="s">
        <v>31</v>
      </c>
      <c r="B29">
        <v>345</v>
      </c>
      <c r="C29">
        <v>119</v>
      </c>
      <c r="D29">
        <v>34.5</v>
      </c>
    </row>
    <row r="30" spans="1:4" x14ac:dyDescent="0.35">
      <c r="A30" s="2" t="s">
        <v>32</v>
      </c>
      <c r="B30">
        <v>116</v>
      </c>
      <c r="C30">
        <v>67</v>
      </c>
      <c r="D30">
        <v>57.8</v>
      </c>
    </row>
    <row r="31" spans="1:4" x14ac:dyDescent="0.35">
      <c r="A31" s="2" t="s">
        <v>33</v>
      </c>
      <c r="B31">
        <v>186</v>
      </c>
      <c r="C31">
        <v>22</v>
      </c>
      <c r="D31">
        <v>11.8</v>
      </c>
    </row>
    <row r="32" spans="1:4" x14ac:dyDescent="0.35">
      <c r="A32" s="2" t="s">
        <v>34</v>
      </c>
      <c r="B32">
        <v>87</v>
      </c>
      <c r="C32">
        <v>7</v>
      </c>
      <c r="D32">
        <v>8</v>
      </c>
    </row>
    <row r="33" spans="1:4" x14ac:dyDescent="0.35">
      <c r="A33" s="2" t="s">
        <v>35</v>
      </c>
      <c r="B33">
        <v>176</v>
      </c>
      <c r="C33">
        <v>7</v>
      </c>
      <c r="D33">
        <v>4</v>
      </c>
    </row>
    <row r="34" spans="1:4" x14ac:dyDescent="0.35">
      <c r="A34" s="2" t="s">
        <v>36</v>
      </c>
      <c r="B34">
        <v>134</v>
      </c>
      <c r="C34">
        <v>1</v>
      </c>
      <c r="D34">
        <v>0.7</v>
      </c>
    </row>
    <row r="35" spans="1:4" x14ac:dyDescent="0.35">
      <c r="A35" s="2" t="s">
        <v>44</v>
      </c>
    </row>
    <row r="36" spans="1:4" x14ac:dyDescent="0.35">
      <c r="A36" s="2" t="s">
        <v>4</v>
      </c>
      <c r="B36">
        <v>1</v>
      </c>
      <c r="C36">
        <v>1</v>
      </c>
      <c r="D36">
        <v>0.7</v>
      </c>
    </row>
    <row r="37" spans="1:4" x14ac:dyDescent="0.35">
      <c r="A37" s="2" t="s">
        <v>5</v>
      </c>
      <c r="B37">
        <v>473</v>
      </c>
      <c r="C37">
        <v>366</v>
      </c>
      <c r="D37">
        <v>100</v>
      </c>
    </row>
    <row r="38" spans="1:4" x14ac:dyDescent="0.35">
      <c r="A38" s="2" t="s">
        <v>6</v>
      </c>
      <c r="B38">
        <v>145.5</v>
      </c>
      <c r="C38">
        <v>68.599999999999994</v>
      </c>
      <c r="D38">
        <v>44.5</v>
      </c>
    </row>
    <row r="39" spans="1:4" x14ac:dyDescent="0.35">
      <c r="A39" s="2" t="s">
        <v>7</v>
      </c>
      <c r="B39">
        <v>96</v>
      </c>
      <c r="C39">
        <v>21</v>
      </c>
      <c r="D39">
        <v>34.5</v>
      </c>
    </row>
    <row r="40" spans="1:4" x14ac:dyDescent="0.35">
      <c r="A40" s="2" t="s">
        <v>8</v>
      </c>
      <c r="B40">
        <v>135.1</v>
      </c>
      <c r="C40">
        <v>106.1</v>
      </c>
      <c r="D40">
        <v>36.200000000000003</v>
      </c>
    </row>
    <row r="41" spans="1:4" x14ac:dyDescent="0.35">
      <c r="A41" s="1"/>
    </row>
    <row r="54" spans="1:4" x14ac:dyDescent="0.35">
      <c r="A54" t="s">
        <v>4</v>
      </c>
      <c r="B54" s="3">
        <f>MIN(B2:B48)</f>
        <v>1</v>
      </c>
      <c r="C54" s="3">
        <f>MIN(C2:C48)</f>
        <v>1</v>
      </c>
      <c r="D54" s="3">
        <f>MIN(D2:D48)</f>
        <v>0.7</v>
      </c>
    </row>
    <row r="55" spans="1:4" x14ac:dyDescent="0.35">
      <c r="A55" t="s">
        <v>5</v>
      </c>
      <c r="B55" s="3">
        <f>MAX(B2:B48)</f>
        <v>473</v>
      </c>
      <c r="C55" s="3">
        <f>MAX(C2:C48)</f>
        <v>366</v>
      </c>
      <c r="D55" s="3">
        <f>MAX(D2:D48)</f>
        <v>100</v>
      </c>
    </row>
    <row r="56" spans="1:4" x14ac:dyDescent="0.35">
      <c r="A56" t="s">
        <v>6</v>
      </c>
      <c r="B56" s="3">
        <f>ROUND(AVERAGE(B2:B48), 2)</f>
        <v>148.78</v>
      </c>
      <c r="C56" s="3">
        <f>ROUND(AVERAGE(C2:C48),2)</f>
        <v>74.39</v>
      </c>
      <c r="D56" s="3">
        <f>ROUND(AVERAGE(D2:D48),2)</f>
        <v>44.34</v>
      </c>
    </row>
    <row r="57" spans="1:4" x14ac:dyDescent="0.35">
      <c r="A57" t="s">
        <v>7</v>
      </c>
      <c r="B57" s="3">
        <f>MEDIAN(B2:B48)</f>
        <v>99.5</v>
      </c>
      <c r="C57" s="3">
        <f>MEDIAN(C2:C48)</f>
        <v>21.5</v>
      </c>
      <c r="D57" s="3">
        <f>MEDIAN(D2:D48)</f>
        <v>34.5</v>
      </c>
    </row>
    <row r="58" spans="1:4" x14ac:dyDescent="0.35">
      <c r="A58" t="s">
        <v>8</v>
      </c>
      <c r="B58" s="3">
        <f>ROUND(_xlfn.STDEV.P(B3:B48), 2)</f>
        <v>138.51</v>
      </c>
      <c r="C58" s="3">
        <f>ROUND(_xlfn.STDEV.P(C3:C48),2)</f>
        <v>111.7</v>
      </c>
      <c r="D58" s="3">
        <f>ROUND(_xlfn.STDEV.P(D3:D48),2)</f>
        <v>34.93</v>
      </c>
    </row>
  </sheetData>
  <phoneticPr fontId="18" type="noConversion"/>
  <pageMargins left="0.7" right="0.7" top="0.75" bottom="0.75" header="0.3" footer="0.3"/>
  <pageSetup paperSize="9" orientation="portrait" horizontalDpi="4294967295" verticalDpi="4294967295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4A6318-1A63-4E78-B599-184DF977AB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analysis</vt:lpstr>
      <vt:lpstr>FilePath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Chaphasilor Synnrekt</dc:creator>
  <cp:lastModifiedBy>Fabi Meer</cp:lastModifiedBy>
  <dcterms:created xsi:type="dcterms:W3CDTF">2026-06-23T14:51:42Z</dcterms:created>
  <dcterms:modified xsi:type="dcterms:W3CDTF">2026-06-25T12:35:52Z</dcterms:modified>
</cp:coreProperties>
</file>